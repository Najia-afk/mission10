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nement" sheetId="1" r:id="rId4"/>
    <sheet state="visible" name="Registre_CNIL" sheetId="2" r:id="rId5"/>
    <sheet state="visible" name="Analyse_Risques" sheetId="3" r:id="rId6"/>
    <sheet state="visible" name="Planning_Sprints" sheetId="4" r:id="rId7"/>
  </sheets>
  <definedNames/>
  <calcPr/>
  <extLst>
    <ext uri="GoogleSheetsCustomDataVersion2">
      <go:sheetsCustomData xmlns:go="http://customooxmlschemas.google.com/" r:id="rId8" roundtripDataChecksum="xWUU9rqJVFVJHjAP2kYjbGHFjaunJBcNrMMSRy3Cy6g="/>
    </ext>
  </extLst>
</workbook>
</file>

<file path=xl/sharedStrings.xml><?xml version="1.0" encoding="utf-8"?>
<sst xmlns="http://schemas.openxmlformats.org/spreadsheetml/2006/main" count="488" uniqueCount="431">
  <si>
    <t>ÉQUIPE PROJET - RESSOURCES HUMAINES</t>
  </si>
  <si>
    <t>Profil</t>
  </si>
  <si>
    <t>Rôle</t>
  </si>
  <si>
    <t>Nombre</t>
  </si>
  <si>
    <t>TJM (€)</t>
  </si>
  <si>
    <t>Jours estimés</t>
  </si>
  <si>
    <t>Coût total (€)</t>
  </si>
  <si>
    <t>Product Owner</t>
  </si>
  <si>
    <t>Pilotage backlog, priorisation</t>
  </si>
  <si>
    <t>Scrum Master</t>
  </si>
  <si>
    <t>Animation SCRUM, levée obstacles</t>
  </si>
  <si>
    <t>Développeur Mobile Senior</t>
  </si>
  <si>
    <t>iOS/Android, Flutter/React Native</t>
  </si>
  <si>
    <t>Data Scientist Senior</t>
  </si>
  <si>
    <t>Modèle IA vision, ML pipeline</t>
  </si>
  <si>
    <t>Data Scientist Junior</t>
  </si>
  <si>
    <t>Support DS, tests, data prep</t>
  </si>
  <si>
    <t>DevOps/Cloud Engineer</t>
  </si>
  <si>
    <t>Infrastructure Azure, CI/CD</t>
  </si>
  <si>
    <t>UX Designer</t>
  </si>
  <si>
    <t>Interface, parcours utilisateur</t>
  </si>
  <si>
    <t>QA Engineer</t>
  </si>
  <si>
    <t>Tests fonctionnels, automatisation</t>
  </si>
  <si>
    <t>TOTAL DÉVELOPPEMENT:</t>
  </si>
  <si>
    <t>KPIs DE SUCCÈS - CRITÈRES D'ÉVALUATION</t>
  </si>
  <si>
    <t>KPI</t>
  </si>
  <si>
    <t>Objectif</t>
  </si>
  <si>
    <t>Mesure</t>
  </si>
  <si>
    <t>Fréquence</t>
  </si>
  <si>
    <t>Taux de conversion app</t>
  </si>
  <si>
    <t>&gt; 3%</t>
  </si>
  <si>
    <t>Achats / Utilisateurs actifs</t>
  </si>
  <si>
    <t>Hebdomadaire</t>
  </si>
  <si>
    <t>Précision recommandations</t>
  </si>
  <si>
    <t>&gt; 75%</t>
  </si>
  <si>
    <t>Clics sur recos / Total recos affichées</t>
  </si>
  <si>
    <t>Quotidienne</t>
  </si>
  <si>
    <t>NPS (Net Promoter Score)</t>
  </si>
  <si>
    <t>&gt; 40</t>
  </si>
  <si>
    <t>Enquête utilisateurs</t>
  </si>
  <si>
    <t>Mensuelle</t>
  </si>
  <si>
    <t>Temps de réponse IA</t>
  </si>
  <si>
    <t>&lt; 3 secondes</t>
  </si>
  <si>
    <t>P95 latence API</t>
  </si>
  <si>
    <t>Temps réel</t>
  </si>
  <si>
    <t>Taux de rétention J30</t>
  </si>
  <si>
    <t>&gt; 25%</t>
  </si>
  <si>
    <t>Utilisateurs actifs à J+30 / Nouveaux</t>
  </si>
  <si>
    <t>Panier moyen via app</t>
  </si>
  <si>
    <t>&gt; 85€</t>
  </si>
  <si>
    <t>CA app / Nb commandes app</t>
  </si>
  <si>
    <t>Taux de retour produits</t>
  </si>
  <si>
    <t>&lt; 15%</t>
  </si>
  <si>
    <t>Retours / Commandes via app</t>
  </si>
  <si>
    <t>COÛTS INFRASTRUCTURE AZURE - PHASE INITIALE (Dev/Training)</t>
  </si>
  <si>
    <t>Source: Azure Retail Prices API (prices.azure.com) + hypothèses (MVP). FX USD-&gt;EUR=0.8603 (frankfurter.app). Region=francecentral.</t>
  </si>
  <si>
    <t>Service Azure</t>
  </si>
  <si>
    <t>Usage</t>
  </si>
  <si>
    <t>Coût/mois (€)</t>
  </si>
  <si>
    <t>Durée (mois)</t>
  </si>
  <si>
    <t>Total (€)</t>
  </si>
  <si>
    <t>Virtual Machines (NC6s v3)</t>
  </si>
  <si>
    <t>Training vision (GPU, 80 h/mo)</t>
  </si>
  <si>
    <t>Azure Storage (Blob)</t>
  </si>
  <si>
    <t>Dataset images training (100 GB)</t>
  </si>
  <si>
    <t>Azure Container Registry (Basic)</t>
  </si>
  <si>
    <t>Registry images Docker</t>
  </si>
  <si>
    <t>Azure DevOps / GitHub</t>
  </si>
  <si>
    <t>CI/CD (free tier)</t>
  </si>
  <si>
    <t>-</t>
  </si>
  <si>
    <t>Cognitive Services (non retenu MVP)</t>
  </si>
  <si>
    <t>TOTAL INFRA INITIALE:</t>
  </si>
  <si>
    <t>COÛTS RÉCURRENTS ANNUELS (Maintenance + Production)</t>
  </si>
  <si>
    <t>Poste</t>
  </si>
  <si>
    <t>Description</t>
  </si>
  <si>
    <t>Coût annuel (€)</t>
  </si>
  <si>
    <t>Maintenance applicative</t>
  </si>
  <si>
    <t>15% du coût dev initial</t>
  </si>
  <si>
    <t>Azure App Service (Basic B1)</t>
  </si>
  <si>
    <t>Hébergement API backend + inference</t>
  </si>
  <si>
    <t>Azure Database for PostgreSQL (Flexible, Burstable B1ms)</t>
  </si>
  <si>
    <t>DB (compute + 32 GB storage)</t>
  </si>
  <si>
    <t>Azure Blob Storage (Standard LRS)</t>
  </si>
  <si>
    <t>Stockage images utilisateurs (200 GB)</t>
  </si>
  <si>
    <t>Application Insights</t>
  </si>
  <si>
    <t>Logs (~ 5 GB/mo au-delà du free tier)</t>
  </si>
  <si>
    <t>CDN (non retenu MVP)</t>
  </si>
  <si>
    <t>Functions/Serverless (non retenu MVP)</t>
  </si>
  <si>
    <t>TOTAL RÉCURRENT/AN:</t>
  </si>
  <si>
    <t>COÛT SUPPORT/AN:</t>
  </si>
  <si>
    <t>TOTAL RÉCURRENT + SUPPORT:</t>
  </si>
  <si>
    <t>BUDGET GLOBAL (Ressources + Cloud)</t>
  </si>
  <si>
    <t>Montant (€)</t>
  </si>
  <si>
    <t>Ressources (dev)</t>
  </si>
  <si>
    <t>Infra initiale (cloud)</t>
  </si>
  <si>
    <t>Récurrent + support (an)</t>
  </si>
  <si>
    <t>TOTAL INIT + DEV</t>
  </si>
  <si>
    <t>GAINS ANNUELS ESTIMÉS</t>
  </si>
  <si>
    <t>Source de gain</t>
  </si>
  <si>
    <t>Hypothèse</t>
  </si>
  <si>
    <t>Gain/an (€)</t>
  </si>
  <si>
    <t>Ventes additionnelles via app</t>
  </si>
  <si>
    <t>+2% CA e-commerce (base 3M€)</t>
  </si>
  <si>
    <t>Réduction taux retour</t>
  </si>
  <si>
    <t>-1% retours (base 500K€ retours)</t>
  </si>
  <si>
    <t>Nouveaux clients (acquisition)</t>
  </si>
  <si>
    <t>500 nouveaux × panier moyen 80€</t>
  </si>
  <si>
    <t>Upselling recommandations</t>
  </si>
  <si>
    <t>+15% panier via reco</t>
  </si>
  <si>
    <t>TOTAL GAINS/AN:</t>
  </si>
  <si>
    <t>ANALYSE ROI SUR 5 ANS</t>
  </si>
  <si>
    <t>Année</t>
  </si>
  <si>
    <t>Coûts (€)</t>
  </si>
  <si>
    <t>Gains (€)</t>
  </si>
  <si>
    <t>Flux net (€)</t>
  </si>
  <si>
    <t>Cumul (€)</t>
  </si>
  <si>
    <t>Rentable?</t>
  </si>
  <si>
    <t>Année 0</t>
  </si>
  <si>
    <t>Année 1</t>
  </si>
  <si>
    <t>Année 2</t>
  </si>
  <si>
    <t>Année 3</t>
  </si>
  <si>
    <t>Année 4</t>
  </si>
  <si>
    <t>Année 5</t>
  </si>
  <si>
    <t>Données graphique</t>
  </si>
  <si>
    <t>Coûts cumulés</t>
  </si>
  <si>
    <t>Gains cumulés</t>
  </si>
  <si>
    <t>ROI cumulé</t>
  </si>
  <si>
    <t>➡️ Break-even atteint : Entre Année 1 et Année 2 (~14 mois après mise en production)</t>
  </si>
  <si>
    <t>SCÉNARIO PESSIMISTE (50% des gains)</t>
  </si>
  <si>
    <t>Non</t>
  </si>
  <si>
    <t>OUI ✓</t>
  </si>
  <si>
    <t>➡️ Scénario pessimiste : Break-even atteint Année 3 (~33 mois)</t>
  </si>
  <si>
    <t>BURNDOWN CHART - EXEMPLE SPRINT 2 (26 Story Points)</t>
  </si>
  <si>
    <t>Jour</t>
  </si>
  <si>
    <t>Idéal</t>
  </si>
  <si>
    <t>Réel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</si>
  <si>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</si>
  <si>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</si>
  <si>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</si>
  <si>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</si>
  <si>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</si>
  <si>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</si>
  <si>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</si>
  <si>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</si>
  <si>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</si>
  <si>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</si>
  <si>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</si>
  <si>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</si>
  <si>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</si>
  <si>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</si>
  <si>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</si>
  <si>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</si>
  <si>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BURNDOWN GLOBAL - PROJET COMPLET (PAR SPRINT)</t>
  </si>
  <si>
    <t>Sprint</t>
  </si>
  <si>
    <t>Story Points Restants</t>
  </si>
  <si>
    <t>Départ</t>
  </si>
  <si>
    <t>Sprint 1</t>
  </si>
  <si>
    <t>Sprint 2</t>
  </si>
  <si>
    <t>Sprint 3</t>
  </si>
  <si>
    <t>Sprint 4</t>
  </si>
  <si>
    <t>REGISTRE DES TRAITEMENTS - RGPD Article 30</t>
  </si>
  <si>
    <t>Traitement n°1 : Recommandation IA vestimentaire par analyse d'images</t>
  </si>
  <si>
    <t>Champ CNIL</t>
  </si>
  <si>
    <t>Valeur</t>
  </si>
  <si>
    <t>Nom du traitement</t>
  </si>
  <si>
    <t>Recommandation IA vestimentaire par analyse d'images</t>
  </si>
  <si>
    <t>Date de création</t>
  </si>
  <si>
    <t>01/02/2026</t>
  </si>
  <si>
    <t>Date de mise à jour</t>
  </si>
  <si>
    <t>14/01/2026</t>
  </si>
  <si>
    <t>Responsable de traitement</t>
  </si>
  <si>
    <t>Fashion-Insta SAS</t>
  </si>
  <si>
    <t>Adresse RT</t>
  </si>
  <si>
    <t>15 rue de la Mode, 75008 Paris</t>
  </si>
  <si>
    <t>Email RT</t>
  </si>
  <si>
    <t>contact@fashion-insta.com</t>
  </si>
  <si>
    <t>Représentant RT</t>
  </si>
  <si>
    <t>Alicia MARTIN (VP Product)</t>
  </si>
  <si>
    <t>DPO désigné</t>
  </si>
  <si>
    <t>Oui</t>
  </si>
  <si>
    <t>Nom DPO</t>
  </si>
  <si>
    <t>Pierre DUPONT</t>
  </si>
  <si>
    <t>Contact DPO</t>
  </si>
  <si>
    <t>dpo@fashion-insta.com</t>
  </si>
  <si>
    <t>Finalités du traitement</t>
  </si>
  <si>
    <t>1. Analyser les photos de vêtements soumises par l'utilisateur
2. Identifier le style, couleurs, type de vêtement
3. Recommander des articles similaires du catalogue
4. Personnaliser l'expérience utilisateur</t>
  </si>
  <si>
    <t>Base légale</t>
  </si>
  <si>
    <t>Article 6.1.a RGPD - Consentement explicite de l'utilisateur</t>
  </si>
  <si>
    <t>Intérêt légitime (si applicable)</t>
  </si>
  <si>
    <t>N/A (consentement utilisé)</t>
  </si>
  <si>
    <t>Catégories de personnes concernées</t>
  </si>
  <si>
    <t>Utilisateurs de l'application mobile Fashion-Insta (18 ans et plus)</t>
  </si>
  <si>
    <t>Catégories de données collectées</t>
  </si>
  <si>
    <t>- Photos de vêtements/tenues (peut contenir image partielle corps)
- Adresse email
- Préférences style (couleurs, marques, tailles)
- Historique recommandations
- Données d'achat
- Métadonnées photos (date, device)</t>
  </si>
  <si>
    <t>Données sensibles</t>
  </si>
  <si>
    <t>Potentiellement (selon le contenu des photos). 
Le système ne vise pas à déduire des attributs sensibles (origine, santé, etc.). 
Mesures : minimisation, consentement, sécurité, accès restreint.</t>
  </si>
  <si>
    <t>Source des données</t>
  </si>
  <si>
    <t>Collecte directe auprès de l'utilisateur via l'application</t>
  </si>
  <si>
    <t>Caractère obligatoire</t>
  </si>
  <si>
    <t>Photos: obligatoire pour le service. Profil style: facultatif</t>
  </si>
  <si>
    <t>Destinataires internes</t>
  </si>
  <si>
    <t>Équipe Data Science (analyse/amélioration modèle) ; Service Client (support) ; Marketing (analytics agrégées anonymisées)</t>
  </si>
  <si>
    <t>Sous-traitants</t>
  </si>
  <si>
    <t>Microsoft Ireland Operations Ltd (Azure Cloud)</t>
  </si>
  <si>
    <t>Contrat sous-traitance</t>
  </si>
  <si>
    <t>Oui - DPA Microsoft Azure en place</t>
  </si>
  <si>
    <t>Transfert hors UE</t>
  </si>
  <si>
    <t>Non (hébergement UE - France Central). À confirmer selon configuration de sauvegarde.</t>
  </si>
  <si>
    <t>Garanties transfert</t>
  </si>
  <si>
    <t>N/A (si UE uniquement). Si transfert requis : Clauses Contractuelles Types (CCT) UE - Décision Commission 2021/914</t>
  </si>
  <si>
    <t>Durée conservation - Photos</t>
  </si>
  <si>
    <t>Jusqu'à suppression par l'utilisateur ou suppression du compte (max 3 ans après dernière activité)</t>
  </si>
  <si>
    <t>Durée conservation - Compte</t>
  </si>
  <si>
    <t>Durée de la relation + 3 ans (prescription)</t>
  </si>
  <si>
    <t>Durée conservation - Logs</t>
  </si>
  <si>
    <t>1 an (LCEN)</t>
  </si>
  <si>
    <t>Durée conservation - Achats</t>
  </si>
  <si>
    <t>10 ans (comptabilité)</t>
  </si>
  <si>
    <t>Mesures sécurité techniques</t>
  </si>
  <si>
    <t>Chiffrement au repos ; TLS en transit ; Pseudonymisation des identifiants ; Hachage données d'authentification ; Journalisation sécurité</t>
  </si>
  <si>
    <t>Mesures sécurité organisationnelles</t>
  </si>
  <si>
    <t>Accès restreint (need-to-know) ; Formation RGPD ; Audit sécurité ; Procédure violation de données</t>
  </si>
  <si>
    <t>Droits des personnes</t>
  </si>
  <si>
    <t>ccès (Art.15) ; Rectification (Art.16) ; Effacement (Art.17) ; Limitation (Art.18) ; Portabilité (Art.20) ; Opposition (Art.21)</t>
  </si>
  <si>
    <t>Modalités exercice droits</t>
  </si>
  <si>
    <t>Email : dpo@fashion-insta.com ; Formulaire in-app ; Délai de réponse : 30 jours max</t>
  </si>
  <si>
    <t>AIPD réalisée</t>
  </si>
  <si>
    <t>Oui (traitement d'images pouvant être potentiellement sensible selon le contenu)</t>
  </si>
  <si>
    <t>Date AIPD</t>
  </si>
  <si>
    <t>15/01/2026</t>
  </si>
  <si>
    <t>ANALYSE DES RISQUES - SPECTRE 7D</t>
  </si>
  <si>
    <t>Catégories Spectre 7D:</t>
  </si>
  <si>
    <t>1. Données - Qualité, disponibilité, intégrité</t>
  </si>
  <si>
    <t>2. Délais - Planning, dépendances</t>
  </si>
  <si>
    <t>3. Droit - RGPD, conformité légale</t>
  </si>
  <si>
    <t>4. Déontologie - Éthique, biais IA</t>
  </si>
  <si>
    <t>5. Décision - Gouvernance, parties prenantes</t>
  </si>
  <si>
    <t>6. Disruption - Technique, changements</t>
  </si>
  <si>
    <t>7. Durabilité - Environnement, pérennité</t>
  </si>
  <si>
    <t>Facteurs de risque</t>
  </si>
  <si>
    <t>Risque (événement redouté)</t>
  </si>
  <si>
    <t>Conséquence</t>
  </si>
  <si>
    <t>Impact</t>
  </si>
  <si>
    <t>Conséquences (en coût, délai, qualité, satisfaction client)</t>
  </si>
  <si>
    <t>Impact (0 à 3)</t>
  </si>
  <si>
    <t>Probabilité (0 à 3)</t>
  </si>
  <si>
    <t>Criticité (impact*prob)</t>
  </si>
  <si>
    <t>Actions de prévention (pour éviter l'événement redouté)</t>
  </si>
  <si>
    <t>Action de correction (si événement redouté avéré)</t>
  </si>
  <si>
    <t>Le Data Scientist est junior et dépend d'un sous-traitant</t>
  </si>
  <si>
    <t>Non disponibilité / perte de compétence clé</t>
  </si>
  <si>
    <t>Retard sur le modèle IA, rework</t>
  </si>
  <si>
    <t>Décalage MVP</t>
  </si>
  <si>
    <t>Coût: re-documentation + formation | Délai: +2-4 semaines | Qualité: baisse</t>
  </si>
  <si>
    <t>Plan de transfert de compétence + pair programming + documentation</t>
  </si>
  <si>
    <t>Action de curation: re-documentation + renfort senior temporaire</t>
  </si>
  <si>
    <t>Délais très courts (concurrent sur le même marché)</t>
  </si>
  <si>
    <t>Retard de livraison MVP</t>
  </si>
  <si>
    <t>Perte d'avantage concurrentiel</t>
  </si>
  <si>
    <t>Time-to-market</t>
  </si>
  <si>
    <t>Coût: perte CA | Délai: report lancement | Qualité: features réduites</t>
  </si>
  <si>
    <t>Prioriser MVP (US Must) + buffer planning + suivi quotidien</t>
  </si>
  <si>
    <t>Action de curation: réduire périmètre + release incrémentale</t>
  </si>
  <si>
    <t>Développeurs mobiles mobilisés sur une autre application</t>
  </si>
  <si>
    <t>Disponibilité insuffisante des devs</t>
  </si>
  <si>
    <t>Ralentissement des sprints</t>
  </si>
  <si>
    <t>Capacité équipe</t>
  </si>
  <si>
    <t>Coût: rallonge budget | Délai: +1-2 sprints | Qualité: dette technique</t>
  </si>
  <si>
    <t>Alignement planning + allocation dédiée + renfort temporaire</t>
  </si>
  <si>
    <t>Action de curation: réaffectation prioritaire ou externalisation</t>
  </si>
  <si>
    <t>Images = données personnelles sensibles</t>
  </si>
  <si>
    <t>Non-conformité RGPD</t>
  </si>
  <si>
    <t>Sanctions CNIL + perte confiance</t>
  </si>
  <si>
    <t>Conformité légale</t>
  </si>
  <si>
    <t>Coût: amende | Qualité: réputation | Satisfaction: chute</t>
  </si>
  <si>
    <t>Consentement explicite + AIPD + registre CNIL</t>
  </si>
  <si>
    <t>Action de curation: suspension feature + purge données + plan correctif</t>
  </si>
  <si>
    <t>Sécurité des données = enjeu majeur</t>
  </si>
  <si>
    <t>Fuite/violation de données personnelles</t>
  </si>
  <si>
    <t>Atteinte réputation + coûts juridiques</t>
  </si>
  <si>
    <t>Sécurité</t>
  </si>
  <si>
    <t>Coût: incident + notification | Délai: remédiation | Satisfaction: baisse</t>
  </si>
  <si>
    <t>Chiffrement AES-256 + audit sécurité + contrôle accès</t>
  </si>
  <si>
    <t>Action de curation: plan de réponse incident + notification 72h</t>
  </si>
  <si>
    <t>Dataset potentiellement non représentatif</t>
  </si>
  <si>
    <t>Biais du modèle IA</t>
  </si>
  <si>
    <t>Recommandations discriminantes</t>
  </si>
  <si>
    <t>Éthique</t>
  </si>
  <si>
    <t>Qualité: baisse pertinence | Satisfaction: bad buzz</t>
  </si>
  <si>
    <t>Audit diversité + métriques fairness + comité éthique</t>
  </si>
  <si>
    <t>Action de curation: retrait modèle + re-training ciblé</t>
  </si>
  <si>
    <t>SYNTHÈSE PAR NIVEAU DE CRITICITÉ</t>
  </si>
  <si>
    <t>Niveau</t>
  </si>
  <si>
    <t>Criticité</t>
  </si>
  <si>
    <t>Action requise</t>
  </si>
  <si>
    <t>Critique</t>
  </si>
  <si>
    <t>7-9</t>
  </si>
  <si>
    <t>Action immédiate requise</t>
  </si>
  <si>
    <t>Élevé</t>
  </si>
  <si>
    <t>4-6</t>
  </si>
  <si>
    <t>Plan de curation prioritaire</t>
  </si>
  <si>
    <t>Modéré</t>
  </si>
  <si>
    <t>1-3</t>
  </si>
  <si>
    <t>Surveillance régulière</t>
  </si>
  <si>
    <t>Faible</t>
  </si>
  <si>
    <t>0</t>
  </si>
  <si>
    <t>Acceptation du risque</t>
  </si>
  <si>
    <t>VISUALISATION RISQUES - CIBLE 7D</t>
  </si>
  <si>
    <t>Catégorie 7D</t>
  </si>
  <si>
    <t>Criticité Max</t>
  </si>
  <si>
    <t>Seuil Acceptable</t>
  </si>
  <si>
    <t>Données</t>
  </si>
  <si>
    <t>Délais</t>
  </si>
  <si>
    <t>Droit</t>
  </si>
  <si>
    <t>Déontologie</t>
  </si>
  <si>
    <t>Décision</t>
  </si>
  <si>
    <t>Disruption</t>
  </si>
  <si>
    <t>Durabilité</t>
  </si>
  <si>
    <t>📊 Interprétation:</t>
  </si>
  <si>
    <t>• Zone rouge (&gt;6): Actions prioritaires requises</t>
  </si>
  <si>
    <t>• Zone verte (≤5): Risques sous contrôle</t>
  </si>
  <si>
    <t>• Objectif: Ramener tous les axes sous le seuil vert</t>
  </si>
  <si>
    <t>MESURES ANTI-BIAIS IA - DÉTAIL</t>
  </si>
  <si>
    <t>Phase</t>
  </si>
  <si>
    <t>Responsable</t>
  </si>
  <si>
    <t>Dataset</t>
  </si>
  <si>
    <t>Audit diversité</t>
  </si>
  <si>
    <t>Vérifier représentativité genres, morphologies, origines ethniques, âges</t>
  </si>
  <si>
    <t>Data Scientist</t>
  </si>
  <si>
    <t>Data augmentation</t>
  </si>
  <si>
    <t>Enrichir le dataset avec images sous-représentées (partenariats)</t>
  </si>
  <si>
    <t>Anonymisation</t>
  </si>
  <si>
    <t>Flouter visages, supprimer métadonnées identifiantes</t>
  </si>
  <si>
    <t>DevOps</t>
  </si>
  <si>
    <t>Entraînement</t>
  </si>
  <si>
    <t>Fairness metrics</t>
  </si>
  <si>
    <t>Intégrer métriques équité (demographic parity, equalized odds)</t>
  </si>
  <si>
    <t>Cross-validation</t>
  </si>
  <si>
    <t>Valider performances par sous-groupes démographiques</t>
  </si>
  <si>
    <t>Validation</t>
  </si>
  <si>
    <t>Comité éthique</t>
  </si>
  <si>
    <t>Revue par comité pluridisciplinaire avant mise en prod</t>
  </si>
  <si>
    <t>Tests utilisateurs</t>
  </si>
  <si>
    <t>Beta-test avec panel diversifié (100+ testeurs)</t>
  </si>
  <si>
    <t>Production</t>
  </si>
  <si>
    <t>Monitoring biais</t>
  </si>
  <si>
    <t>Dashboard temps réel des métriques fairness par segment</t>
  </si>
  <si>
    <t>Feedback loop</t>
  </si>
  <si>
    <t>Collecte retours utilisateurs sur pertinence (US08)</t>
  </si>
  <si>
    <t>Audit trimestriel</t>
  </si>
  <si>
    <t>Revue formelle des performances et biais tous les 3 mois</t>
  </si>
  <si>
    <t>DPO + DS</t>
  </si>
  <si>
    <t>JUSTIFICATION CHOIX AZURE</t>
  </si>
  <si>
    <t>Critère</t>
  </si>
  <si>
    <t>Azure</t>
  </si>
  <si>
    <t>Avantage</t>
  </si>
  <si>
    <t>Partenariat</t>
  </si>
  <si>
    <t>Existant avec Fashion-Insta</t>
  </si>
  <si>
    <t>Réduction coûts, support dédié</t>
  </si>
  <si>
    <t>Conformité RGPD</t>
  </si>
  <si>
    <t>Datacenter France Central</t>
  </si>
  <si>
    <t>Données hébergées en France</t>
  </si>
  <si>
    <t>Services IA</t>
  </si>
  <si>
    <t>Azure Cognitive Services, Azure ML</t>
  </si>
  <si>
    <t>Computer Vision pré-entraîné, AutoML</t>
  </si>
  <si>
    <t>Scalabilité</t>
  </si>
  <si>
    <t>Auto-scaling natif</t>
  </si>
  <si>
    <t>Adaptation charge selon usage</t>
  </si>
  <si>
    <t>Certifications ISO 27001, SOC 2</t>
  </si>
  <si>
    <t>Conformité standards entreprise</t>
  </si>
  <si>
    <t>Empreinte carbone</t>
  </si>
  <si>
    <t>Datacenters bas carbone Europe</t>
  </si>
  <si>
    <t>Alignement RSE Fashion-Insta</t>
  </si>
  <si>
    <t>PLANNING DES SPRINTS - MÉTHODOLOGIE SCRUM</t>
  </si>
  <si>
    <t>Durée sprint: 3 semaines | Équipe: 6-8 personnes | Vélocité cible: ~20 SP/sprint</t>
  </si>
  <si>
    <t>VUE D'ENSEMBLE DES SPRINTS</t>
  </si>
  <si>
    <t>Dates</t>
  </si>
  <si>
    <t>User Stories</t>
  </si>
  <si>
    <t>Story Points</t>
  </si>
  <si>
    <t>Jalon</t>
  </si>
  <si>
    <t>01/02 - 21/02/2026</t>
  </si>
  <si>
    <t>Fondations &amp; Sécurité</t>
  </si>
  <si>
    <t>US01, US02, US10</t>
  </si>
  <si>
    <t>Infrastructure prête</t>
  </si>
  <si>
    <t>22/02 - 14/03/2026</t>
  </si>
  <si>
    <t>Cœur IA &amp; MVP</t>
  </si>
  <si>
    <t>US03,, US06</t>
  </si>
  <si>
    <t xml:space="preserve">Reco + cœur IA </t>
  </si>
  <si>
    <t>15/03 - 04/04/2026</t>
  </si>
  <si>
    <t>Monétisation</t>
  </si>
  <si>
    <t>US08, US09</t>
  </si>
  <si>
    <t>MVP READY  + Paiement intégré +  Mise en prod MVP</t>
  </si>
  <si>
    <t>05/04 - 25/04/2026</t>
  </si>
  <si>
    <t>Enrichissements V1</t>
  </si>
  <si>
    <t>US04, US07, US11</t>
  </si>
  <si>
    <t>CÉRÉMONIES SCRUM - ORGANISATION</t>
  </si>
  <si>
    <t>Cérémonie</t>
  </si>
  <si>
    <t>Durée</t>
  </si>
  <si>
    <t>Participants</t>
  </si>
  <si>
    <t>Daily Scrum</t>
  </si>
  <si>
    <t>Quotidien</t>
  </si>
  <si>
    <t>15 min</t>
  </si>
  <si>
    <t>Équipe dev + SM</t>
  </si>
  <si>
    <t>Synchronisation: Fait hier? Prévu aujourd'hui? Blocages?</t>
  </si>
  <si>
    <t>Sprint Planning</t>
  </si>
  <si>
    <t>Début sprint</t>
  </si>
  <si>
    <t>4h</t>
  </si>
  <si>
    <t>Équipe + PO</t>
  </si>
  <si>
    <t>Sélection US du sprint, définition objectif sprint</t>
  </si>
  <si>
    <t>Sprint Review</t>
  </si>
  <si>
    <t>Fin sprint</t>
  </si>
  <si>
    <t>2h</t>
  </si>
  <si>
    <t>Équipe + PO + Stakeholders</t>
  </si>
  <si>
    <t>Démo fonctionnalités, feedback, validation</t>
  </si>
  <si>
    <t>Sprint Retrospective</t>
  </si>
  <si>
    <t>1h30</t>
  </si>
  <si>
    <t>Équipe + SM</t>
  </si>
  <si>
    <t>Amélioration continue: Start/Stop/Continue</t>
  </si>
  <si>
    <t>Backlog Refinement</t>
  </si>
  <si>
    <t>Mi-sprint</t>
  </si>
  <si>
    <t>Affinage US futures, estimation, clarification</t>
  </si>
  <si>
    <t>RÔLES SCRUM - RESPONSABILITÉS</t>
  </si>
  <si>
    <t>Personne</t>
  </si>
  <si>
    <t>Responsabilités clés</t>
  </si>
  <si>
    <t>Alicia (VP Product)</t>
  </si>
  <si>
    <t>Vision produit, priorisation backlog, validation livrables, ROI</t>
  </si>
  <si>
    <t>À désigner</t>
  </si>
  <si>
    <t>Facilitation cérémonies, levée obstacles, coaching agile</t>
  </si>
  <si>
    <t>Dev Team</t>
  </si>
  <si>
    <t>6 personnes</t>
  </si>
  <si>
    <t>Développement, tests, documentation, auto-organisation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</si>
</sst>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4.0"/>
      <color rgb="FF1F4E79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b/>
      <color rgb="FF1F4E79"/>
      <name val="Calibri"/>
    </font>
    <font>
      <i/>
      <sz val="9.0"/>
      <color rgb="FF666666"/>
      <name val="Calibri"/>
      <scheme val="minor"/>
    </font>
    <font>
      <b/>
      <color rgb="FF228B22"/>
      <name val="Calibri"/>
    </font>
    <font>
      <b/>
      <color rgb="FF006400"/>
      <name val="Calibri"/>
    </font>
    <font>
      <i/>
      <color rgb="FF808080"/>
      <name val="Calibri"/>
    </font>
    <font>
      <color theme="1"/>
      <name val="Calibri"/>
    </font>
    <font>
      <b/>
      <i/>
      <color rgb="FF1F4E79"/>
      <name val="Calibri"/>
    </font>
    <font>
      <b/>
      <i/>
      <color rgb="FFCC7000"/>
      <name val="Calibri"/>
    </font>
    <font>
      <b/>
      <i/>
      <color theme="1"/>
      <name val="Calibri"/>
    </font>
    <font>
      <sz val="9.0"/>
      <color rgb="FF666666"/>
      <name val="Calibri"/>
    </font>
    <font>
      <b/>
      <color rgb="FFFFFFFF"/>
      <name val="Calibri"/>
    </font>
    <font>
      <b/>
      <sz val="10.0"/>
      <color theme="1"/>
      <name val="Calibri"/>
    </font>
    <font>
      <sz val="9.0"/>
      <color rgb="FFCC0000"/>
      <name val="Calibri"/>
    </font>
    <font>
      <sz val="9.0"/>
      <color rgb="FF228B22"/>
      <name val="Calibri"/>
    </font>
    <font>
      <sz val="9.0"/>
      <color theme="1"/>
      <name val="Calibri"/>
    </font>
    <font>
      <i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69DB7C"/>
        <bgColor rgb="FF69DB7C"/>
      </patternFill>
    </fill>
    <fill>
      <patternFill patternType="solid">
        <fgColor rgb="FFFFE066"/>
        <bgColor rgb="FFFFE066"/>
      </patternFill>
    </fill>
    <fill>
      <patternFill patternType="solid">
        <fgColor rgb="FFFF6B6B"/>
        <bgColor rgb="FFFF6B6B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EEBF7"/>
        <bgColor rgb="FFDEEB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0" fontId="2" numFmtId="0" xfId="0" applyBorder="1" applyFont="1"/>
    <xf borderId="0" fillId="0" fontId="4" numFmtId="0" xfId="0" applyFont="1"/>
    <xf borderId="0" fillId="0" fontId="5" numFmtId="0" xfId="0" applyFont="1"/>
    <xf borderId="1" fillId="2" fontId="3" numFmtId="0" xfId="0" applyBorder="1" applyFont="1"/>
    <xf borderId="0" fillId="0" fontId="6" numFmtId="0" xfId="0" applyFont="1"/>
    <xf borderId="1" fillId="0" fontId="5" numFmtId="0" xfId="0" applyBorder="1" applyFont="1"/>
    <xf borderId="0" fillId="0" fontId="7" numFmtId="0" xfId="0" applyFont="1"/>
    <xf borderId="1" fillId="3" fontId="8" numFmtId="0" xfId="0" applyBorder="1" applyFill="1" applyFont="1"/>
    <xf borderId="0" fillId="0" fontId="9" numFmtId="0" xfId="0" applyFont="1"/>
    <xf borderId="0" fillId="0" fontId="10" numFmtId="0" xfId="0" applyFont="1"/>
    <xf borderId="0" fillId="0" fontId="11" numFmtId="0" xfId="0" applyFont="1"/>
    <xf borderId="1" fillId="4" fontId="4" numFmtId="0" xfId="0" applyBorder="1" applyFill="1" applyFont="1"/>
    <xf borderId="0" fillId="0" fontId="12" numFmtId="0" xfId="0" applyFont="1"/>
    <xf borderId="0" fillId="0" fontId="13" numFmtId="0" xfId="0" applyFont="1"/>
    <xf borderId="1" fillId="2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0" fillId="0" fontId="14" numFmtId="0" xfId="0" applyFont="1"/>
    <xf borderId="1" fillId="2" fontId="3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shrinkToFit="0" vertical="top" wrapText="1"/>
    </xf>
    <xf borderId="1" fillId="5" fontId="15" numFmtId="0" xfId="0" applyAlignment="1" applyBorder="1" applyFill="1" applyFont="1">
      <alignment shrinkToFit="0" vertical="top" wrapText="1"/>
    </xf>
    <xf borderId="1" fillId="6" fontId="4" numFmtId="0" xfId="0" applyBorder="1" applyFill="1" applyFont="1"/>
    <xf borderId="1" fillId="4" fontId="2" numFmtId="0" xfId="0" applyBorder="1" applyFont="1"/>
    <xf borderId="1" fillId="5" fontId="15" numFmtId="0" xfId="0" applyBorder="1" applyFont="1"/>
    <xf borderId="1" fillId="3" fontId="2" numFmtId="0" xfId="0" applyBorder="1" applyFont="1"/>
    <xf borderId="0" fillId="0" fontId="16" numFmtId="0" xfId="0" applyFont="1"/>
    <xf borderId="0" fillId="0" fontId="17" numFmtId="0" xfId="0" applyFont="1"/>
    <xf borderId="0" fillId="0" fontId="18" numFmtId="0" xfId="0" applyFont="1"/>
    <xf borderId="0" fillId="0" fontId="19" numFmtId="0" xfId="0" applyFont="1"/>
    <xf borderId="1" fillId="7" fontId="4" numFmtId="0" xfId="0" applyAlignment="1" applyBorder="1" applyFill="1" applyFont="1">
      <alignment shrinkToFit="0" vertical="top" wrapText="1"/>
    </xf>
    <xf borderId="1" fillId="8" fontId="4" numFmtId="0" xfId="0" applyBorder="1" applyFill="1" applyFont="1"/>
    <xf borderId="0" fillId="0" fontId="20" numFmtId="0" xfId="0" applyFont="1"/>
    <xf borderId="1" fillId="0" fontId="2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1" fillId="2" fontId="3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Burndown Chart - Sprint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Dimensionnement!$B$106</c:f>
            </c:strRef>
          </c:tx>
          <c:spPr>
            <a:ln cmpd="sng">
              <a:solidFill>
                <a:srgbClr val="808080"/>
              </a:solidFill>
            </a:ln>
          </c:spPr>
          <c:marker>
            <c:symbol val="none"/>
          </c:marker>
          <c:cat>
            <c:strRef>
              <c:f>Dimensionnement!$A$107:$A$122</c:f>
            </c:strRef>
          </c:cat>
          <c:val>
            <c:numRef>
              <c:f>Dimensionnement!$B$107:$B$122</c:f>
              <c:numCache/>
            </c:numRef>
          </c:val>
          <c:smooth val="0"/>
        </c:ser>
        <c:ser>
          <c:idx val="1"/>
          <c:order val="1"/>
          <c:tx>
            <c:strRef>
              <c:f>Dimensionnement!$C$106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Dimensionnement!$A$107:$A$122</c:f>
            </c:strRef>
          </c:cat>
          <c:val>
            <c:numRef>
              <c:f>Dimensionnement!$C$107:$C$122</c:f>
              <c:numCache/>
            </c:numRef>
          </c:val>
          <c:smooth val="0"/>
        </c:ser>
        <c:axId val="448778022"/>
        <c:axId val="1831366051"/>
      </c:lineChart>
      <c:catAx>
        <c:axId val="448778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Jours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31366051"/>
      </c:catAx>
      <c:valAx>
        <c:axId val="18313660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Story Points restants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4877802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Burndown Global - Story Points Restants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Dimensionnement!$B$127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Dimensionnement!$A$128:$A$132</c:f>
            </c:strRef>
          </c:cat>
          <c:val>
            <c:numRef>
              <c:f>Dimensionnement!$B$128:$B$132</c:f>
              <c:numCache/>
            </c:numRef>
          </c:val>
          <c:smooth val="0"/>
        </c:ser>
        <c:axId val="1563348496"/>
        <c:axId val="1890485474"/>
      </c:lineChart>
      <c:catAx>
        <c:axId val="1563348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90485474"/>
      </c:catAx>
      <c:valAx>
        <c:axId val="1890485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 restants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6334849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Évolution ROI - Coûts vs Gains Cumulés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Dimensionnement!$P$86</c:f>
            </c:strRef>
          </c:tx>
          <c:spPr>
            <a:ln cmpd="sng">
              <a:solidFill>
                <a:srgbClr val="FF6B6B"/>
              </a:solidFill>
            </a:ln>
          </c:spPr>
          <c:marker>
            <c:symbol val="none"/>
          </c:marker>
          <c:cat>
            <c:strRef>
              <c:f>Dimensionnement!$O$87:$O$92</c:f>
            </c:strRef>
          </c:cat>
          <c:val>
            <c:numRef>
              <c:f>Dimensionnement!$P$87:$P$92</c:f>
              <c:numCache/>
            </c:numRef>
          </c:val>
          <c:smooth val="0"/>
        </c:ser>
        <c:ser>
          <c:idx val="1"/>
          <c:order val="1"/>
          <c:tx>
            <c:strRef>
              <c:f>Dimensionnement!$Q$86</c:f>
            </c:strRef>
          </c:tx>
          <c:spPr>
            <a:ln cmpd="sng">
              <a:solidFill>
                <a:srgbClr val="69DB7C"/>
              </a:solidFill>
            </a:ln>
          </c:spPr>
          <c:marker>
            <c:symbol val="none"/>
          </c:marker>
          <c:cat>
            <c:strRef>
              <c:f>Dimensionnement!$O$87:$O$92</c:f>
            </c:strRef>
          </c:cat>
          <c:val>
            <c:numRef>
              <c:f>Dimensionnement!$Q$87:$Q$92</c:f>
              <c:numCache/>
            </c:numRef>
          </c:val>
          <c:smooth val="0"/>
        </c:ser>
        <c:ser>
          <c:idx val="2"/>
          <c:order val="2"/>
          <c:tx>
            <c:strRef>
              <c:f>Dimensionnement!$R$86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Dimensionnement!$O$87:$O$92</c:f>
            </c:strRef>
          </c:cat>
          <c:val>
            <c:numRef>
              <c:f>Dimensionnement!$R$87:$R$92</c:f>
              <c:numCache/>
            </c:numRef>
          </c:val>
          <c:smooth val="0"/>
        </c:ser>
        <c:axId val="2024429448"/>
        <c:axId val="818558900"/>
      </c:lineChart>
      <c:catAx>
        <c:axId val="2024429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Année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18558900"/>
      </c:catAx>
      <c:valAx>
        <c:axId val="818558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Montant (€)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2442944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Cartographie des Risques 7D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Analyse_Risques!$B$34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Analyse_Risques!$A$35:$A$41</c:f>
            </c:strRef>
          </c:cat>
          <c:val>
            <c:numRef>
              <c:f>Analyse_Risques!$B$35:$B$41</c:f>
              <c:numCache/>
            </c:numRef>
          </c:val>
          <c:smooth val="1"/>
        </c:ser>
        <c:ser>
          <c:idx val="1"/>
          <c:order val="1"/>
          <c:tx>
            <c:strRef>
              <c:f>Analyse_Risques!$C$34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Analyse_Risques!$A$35:$A$41</c:f>
            </c:strRef>
          </c:cat>
          <c:val>
            <c:numRef>
              <c:f>Analyse_Risques!$C$35:$C$41</c:f>
              <c:numCache/>
            </c:numRef>
          </c:val>
          <c:smooth val="1"/>
        </c:ser>
        <c:axId val="622285353"/>
        <c:axId val="850983645"/>
      </c:radarChart>
      <c:catAx>
        <c:axId val="622285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983645"/>
      </c:catAx>
      <c:valAx>
        <c:axId val="850983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28535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1190625</xdr:colOff>
      <xdr:row>100</xdr:row>
      <xdr:rowOff>47625</xdr:rowOff>
    </xdr:from>
    <xdr:ext cx="6924675" cy="4610100"/>
    <xdr:graphicFrame>
      <xdr:nvGraphicFramePr>
        <xdr:cNvPr id="1531016002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742950</xdr:colOff>
      <xdr:row>100</xdr:row>
      <xdr:rowOff>47625</xdr:rowOff>
    </xdr:from>
    <xdr:ext cx="7962900" cy="4610100"/>
    <xdr:graphicFrame>
      <xdr:nvGraphicFramePr>
        <xdr:cNvPr id="1130834637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65</xdr:row>
      <xdr:rowOff>38100</xdr:rowOff>
    </xdr:from>
    <xdr:ext cx="8953500" cy="5962650"/>
    <xdr:graphicFrame>
      <xdr:nvGraphicFramePr>
        <xdr:cNvPr id="1807325337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32</xdr:row>
      <xdr:rowOff>0</xdr:rowOff>
    </xdr:from>
    <xdr:ext cx="4314825" cy="3590925"/>
    <xdr:graphicFrame>
      <xdr:nvGraphicFramePr>
        <xdr:cNvPr id="207344658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0.0"/>
    <col customWidth="1" min="3" max="3" width="18.0"/>
    <col customWidth="1" min="4" max="4" width="20.71"/>
    <col customWidth="1" min="5" max="6" width="1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7</v>
      </c>
      <c r="B4" s="4" t="s">
        <v>8</v>
      </c>
      <c r="C4" s="4">
        <v>0.5</v>
      </c>
      <c r="D4" s="4">
        <v>650.0</v>
      </c>
      <c r="E4" s="4">
        <v>30.0</v>
      </c>
      <c r="F4" s="4">
        <v>19500.0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9</v>
      </c>
      <c r="B5" s="4" t="s">
        <v>10</v>
      </c>
      <c r="C5" s="4">
        <v>0.5</v>
      </c>
      <c r="D5" s="4">
        <v>550.0</v>
      </c>
      <c r="E5" s="4">
        <v>30.0</v>
      </c>
      <c r="F5" s="4">
        <v>16500.0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11</v>
      </c>
      <c r="B6" s="4" t="s">
        <v>12</v>
      </c>
      <c r="C6" s="4">
        <v>2.0</v>
      </c>
      <c r="D6" s="4">
        <v>500.0</v>
      </c>
      <c r="E6" s="4">
        <v>54.0</v>
      </c>
      <c r="F6" s="4">
        <v>54000.0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13</v>
      </c>
      <c r="B7" s="4" t="s">
        <v>14</v>
      </c>
      <c r="C7" s="4">
        <v>1.0</v>
      </c>
      <c r="D7" s="4">
        <v>600.0</v>
      </c>
      <c r="E7" s="4">
        <v>22.22</v>
      </c>
      <c r="F7" s="4">
        <v>13332.0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15</v>
      </c>
      <c r="B8" s="4" t="s">
        <v>16</v>
      </c>
      <c r="C8" s="4">
        <v>0.5</v>
      </c>
      <c r="D8" s="4">
        <v>400.0</v>
      </c>
      <c r="E8" s="4">
        <v>11.68</v>
      </c>
      <c r="F8" s="4">
        <v>2336.0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17</v>
      </c>
      <c r="B9" s="4" t="s">
        <v>18</v>
      </c>
      <c r="C9" s="4">
        <v>1.0</v>
      </c>
      <c r="D9" s="4">
        <v>550.0</v>
      </c>
      <c r="E9" s="4">
        <v>20.6</v>
      </c>
      <c r="F9" s="4">
        <v>11330.0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19</v>
      </c>
      <c r="B10" s="4" t="s">
        <v>20</v>
      </c>
      <c r="C10" s="4">
        <v>0.5</v>
      </c>
      <c r="D10" s="4">
        <v>450.0</v>
      </c>
      <c r="E10" s="4">
        <v>19.5</v>
      </c>
      <c r="F10" s="4">
        <v>4387.5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21</v>
      </c>
      <c r="B11" s="4" t="s">
        <v>22</v>
      </c>
      <c r="C11" s="4">
        <v>0.5</v>
      </c>
      <c r="D11" s="4">
        <v>450.0</v>
      </c>
      <c r="E11" s="4">
        <v>15.0</v>
      </c>
      <c r="F11" s="4">
        <v>6750.0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5" t="s">
        <v>23</v>
      </c>
      <c r="F13" s="6">
        <v>128135.5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 t="s">
        <v>25</v>
      </c>
      <c r="B18" s="7" t="s">
        <v>26</v>
      </c>
      <c r="C18" s="7" t="s">
        <v>27</v>
      </c>
      <c r="D18" s="7" t="s">
        <v>28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29</v>
      </c>
      <c r="B19" s="4" t="s">
        <v>30</v>
      </c>
      <c r="C19" s="4" t="s">
        <v>31</v>
      </c>
      <c r="D19" s="4" t="s">
        <v>32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33</v>
      </c>
      <c r="B20" s="4" t="s">
        <v>34</v>
      </c>
      <c r="C20" s="4" t="s">
        <v>35</v>
      </c>
      <c r="D20" s="4" t="s">
        <v>36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37</v>
      </c>
      <c r="B21" s="4" t="s">
        <v>38</v>
      </c>
      <c r="C21" s="4" t="s">
        <v>39</v>
      </c>
      <c r="D21" s="4" t="s">
        <v>40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41</v>
      </c>
      <c r="B22" s="4" t="s">
        <v>42</v>
      </c>
      <c r="C22" s="4" t="s">
        <v>43</v>
      </c>
      <c r="D22" s="4" t="s">
        <v>44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45</v>
      </c>
      <c r="B23" s="4" t="s">
        <v>46</v>
      </c>
      <c r="C23" s="4" t="s">
        <v>47</v>
      </c>
      <c r="D23" s="4" t="s">
        <v>40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48</v>
      </c>
      <c r="B24" s="4" t="s">
        <v>49</v>
      </c>
      <c r="C24" s="4" t="s">
        <v>50</v>
      </c>
      <c r="D24" s="4" t="s">
        <v>32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51</v>
      </c>
      <c r="B25" s="4" t="s">
        <v>52</v>
      </c>
      <c r="C25" s="4" t="s">
        <v>53</v>
      </c>
      <c r="D25" s="4" t="s">
        <v>40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 t="s">
        <v>54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55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 t="s">
        <v>56</v>
      </c>
      <c r="B30" s="7" t="s">
        <v>57</v>
      </c>
      <c r="C30" s="7" t="s">
        <v>58</v>
      </c>
      <c r="D30" s="7" t="s">
        <v>59</v>
      </c>
      <c r="E30" s="7" t="s">
        <v>60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61</v>
      </c>
      <c r="B31" s="4" t="s">
        <v>62</v>
      </c>
      <c r="C31" s="4">
        <v>246.39</v>
      </c>
      <c r="D31" s="4">
        <v>3.0</v>
      </c>
      <c r="E31" s="4">
        <v>739.17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63</v>
      </c>
      <c r="B32" s="4" t="s">
        <v>64</v>
      </c>
      <c r="C32" s="4">
        <v>2.41</v>
      </c>
      <c r="D32" s="4">
        <v>3.0</v>
      </c>
      <c r="E32" s="4">
        <v>7.23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65</v>
      </c>
      <c r="B33" s="4" t="s">
        <v>66</v>
      </c>
      <c r="C33" s="4">
        <v>4.3</v>
      </c>
      <c r="D33" s="4">
        <v>3.0</v>
      </c>
      <c r="E33" s="4">
        <v>12.9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67</v>
      </c>
      <c r="B34" s="4" t="s">
        <v>68</v>
      </c>
      <c r="C34" s="4">
        <v>0.0</v>
      </c>
      <c r="D34" s="4">
        <v>3.0</v>
      </c>
      <c r="E34" s="4">
        <v>0.0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 t="s">
        <v>69</v>
      </c>
      <c r="B35" s="4" t="s">
        <v>70</v>
      </c>
      <c r="C35" s="4">
        <v>0.0</v>
      </c>
      <c r="D35" s="4">
        <v>3.0</v>
      </c>
      <c r="E35" s="4">
        <v>0.0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5" t="s">
        <v>71</v>
      </c>
      <c r="E37" s="6">
        <v>759.3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 t="s">
        <v>72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 t="s">
        <v>73</v>
      </c>
      <c r="B42" s="7" t="s">
        <v>74</v>
      </c>
      <c r="C42" s="7" t="s">
        <v>75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 t="s">
        <v>76</v>
      </c>
      <c r="B43" s="4" t="s">
        <v>77</v>
      </c>
      <c r="C43" s="4">
        <v>19200.0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 t="s">
        <v>78</v>
      </c>
      <c r="B44" s="4" t="s">
        <v>79</v>
      </c>
      <c r="C44" s="4">
        <v>708.4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 t="s">
        <v>80</v>
      </c>
      <c r="B45" s="4" t="s">
        <v>81</v>
      </c>
      <c r="C45" s="4">
        <v>187.12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 t="s">
        <v>82</v>
      </c>
      <c r="B46" s="4" t="s">
        <v>83</v>
      </c>
      <c r="C46" s="4">
        <v>57.81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" t="s">
        <v>65</v>
      </c>
      <c r="B47" s="4" t="s">
        <v>66</v>
      </c>
      <c r="C47" s="4">
        <v>52.31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 t="s">
        <v>84</v>
      </c>
      <c r="B48" s="4" t="s">
        <v>85</v>
      </c>
      <c r="C48" s="4">
        <v>118.72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" t="s">
        <v>69</v>
      </c>
      <c r="B49" s="4" t="s">
        <v>86</v>
      </c>
      <c r="C49" s="4">
        <v>0.0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" t="s">
        <v>69</v>
      </c>
      <c r="B50" s="4" t="s">
        <v>87</v>
      </c>
      <c r="C50" s="4">
        <v>0.0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5" t="s">
        <v>88</v>
      </c>
      <c r="C52" s="6">
        <v>20324.36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5" t="s">
        <v>89</v>
      </c>
      <c r="C53" s="6">
        <v>6000.0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5" t="s">
        <v>90</v>
      </c>
      <c r="C54" s="6">
        <v>26324.36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" t="s">
        <v>91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 t="s">
        <v>73</v>
      </c>
      <c r="B58" s="7" t="s">
        <v>92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" t="s">
        <v>93</v>
      </c>
      <c r="B59" s="4">
        <f>F13</f>
        <v>128135.5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" t="s">
        <v>94</v>
      </c>
      <c r="B60" s="4">
        <f>E37</f>
        <v>759.3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" t="s">
        <v>95</v>
      </c>
      <c r="B61" s="4">
        <f>C54</f>
        <v>26324.36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9" t="s">
        <v>96</v>
      </c>
      <c r="B62" s="9">
        <f>F13+E37</f>
        <v>128894.8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 t="s">
        <v>97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 t="s">
        <v>98</v>
      </c>
      <c r="B67" s="7" t="s">
        <v>99</v>
      </c>
      <c r="C67" s="7" t="s">
        <v>100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" t="s">
        <v>101</v>
      </c>
      <c r="B68" s="4" t="s">
        <v>102</v>
      </c>
      <c r="C68" s="4">
        <v>60000.0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" t="s">
        <v>103</v>
      </c>
      <c r="B69" s="4" t="s">
        <v>104</v>
      </c>
      <c r="C69" s="4">
        <v>5000.0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" t="s">
        <v>105</v>
      </c>
      <c r="B70" s="4" t="s">
        <v>106</v>
      </c>
      <c r="C70" s="4">
        <v>40000.0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" t="s">
        <v>107</v>
      </c>
      <c r="B71" s="4" t="s">
        <v>108</v>
      </c>
      <c r="C71" s="4">
        <v>30000.0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5" t="s">
        <v>109</v>
      </c>
      <c r="C73" s="10">
        <v>135000.0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" t="s">
        <v>110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 t="s">
        <v>111</v>
      </c>
      <c r="B78" s="7" t="s">
        <v>112</v>
      </c>
      <c r="C78" s="7" t="s">
        <v>113</v>
      </c>
      <c r="D78" s="7" t="s">
        <v>114</v>
      </c>
      <c r="E78" s="7" t="s">
        <v>115</v>
      </c>
      <c r="F78" s="7" t="s">
        <v>116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4" t="s">
        <v>117</v>
      </c>
      <c r="B79" s="4">
        <f>$B$62</f>
        <v>128894.8</v>
      </c>
      <c r="C79" s="4">
        <v>0.0</v>
      </c>
      <c r="D79" s="4">
        <f t="shared" ref="D79:D84" si="1">C79-B79</f>
        <v>-128894.8</v>
      </c>
      <c r="E79" s="4">
        <f>D79</f>
        <v>-128894.8</v>
      </c>
      <c r="F79" s="4" t="str">
        <f t="shared" ref="F79:F84" si="2">IF(E79&gt;=0,"OUI ✓","Non")</f>
        <v>Non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4" t="s">
        <v>118</v>
      </c>
      <c r="B80" s="4">
        <f t="shared" ref="B80:B84" si="3">$C$54</f>
        <v>26324.36</v>
      </c>
      <c r="C80" s="4">
        <v>135000.0</v>
      </c>
      <c r="D80" s="4">
        <f t="shared" si="1"/>
        <v>108675.64</v>
      </c>
      <c r="E80" s="4">
        <f t="shared" ref="E80:E84" si="4">E79+D80</f>
        <v>-20219.16</v>
      </c>
      <c r="F80" s="4" t="str">
        <f t="shared" si="2"/>
        <v>Non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4" t="s">
        <v>119</v>
      </c>
      <c r="B81" s="4">
        <f t="shared" si="3"/>
        <v>26324.36</v>
      </c>
      <c r="C81" s="4">
        <v>148500.0</v>
      </c>
      <c r="D81" s="4">
        <f t="shared" si="1"/>
        <v>122175.64</v>
      </c>
      <c r="E81" s="4">
        <f t="shared" si="4"/>
        <v>101956.48</v>
      </c>
      <c r="F81" s="11" t="str">
        <f t="shared" si="2"/>
        <v>OUI ✓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4" t="s">
        <v>120</v>
      </c>
      <c r="B82" s="4">
        <f t="shared" si="3"/>
        <v>26324.36</v>
      </c>
      <c r="C82" s="4">
        <v>163350.0</v>
      </c>
      <c r="D82" s="4">
        <f t="shared" si="1"/>
        <v>137025.64</v>
      </c>
      <c r="E82" s="4">
        <f t="shared" si="4"/>
        <v>238982.12</v>
      </c>
      <c r="F82" s="11" t="str">
        <f t="shared" si="2"/>
        <v>OUI ✓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4" t="s">
        <v>121</v>
      </c>
      <c r="B83" s="4">
        <f t="shared" si="3"/>
        <v>26324.36</v>
      </c>
      <c r="C83" s="4">
        <v>179685.0</v>
      </c>
      <c r="D83" s="4">
        <f t="shared" si="1"/>
        <v>153360.64</v>
      </c>
      <c r="E83" s="4">
        <f t="shared" si="4"/>
        <v>392342.76</v>
      </c>
      <c r="F83" s="11" t="str">
        <f t="shared" si="2"/>
        <v>OUI ✓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4" t="s">
        <v>122</v>
      </c>
      <c r="B84" s="4">
        <f t="shared" si="3"/>
        <v>26324.36</v>
      </c>
      <c r="C84" s="4">
        <v>197654.0</v>
      </c>
      <c r="D84" s="4">
        <f t="shared" si="1"/>
        <v>171329.64</v>
      </c>
      <c r="E84" s="4">
        <f t="shared" si="4"/>
        <v>563672.4</v>
      </c>
      <c r="F84" s="11" t="str">
        <f t="shared" si="2"/>
        <v>OUI ✓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2" t="s">
        <v>123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3" t="s">
        <v>111</v>
      </c>
      <c r="P86" s="13" t="s">
        <v>124</v>
      </c>
      <c r="Q86" s="13" t="s">
        <v>125</v>
      </c>
      <c r="R86" s="13" t="s">
        <v>126</v>
      </c>
      <c r="S86" s="2"/>
      <c r="T86" s="2"/>
      <c r="U86" s="2"/>
      <c r="V86" s="2"/>
      <c r="W86" s="2"/>
      <c r="X86" s="2"/>
      <c r="Y86" s="2"/>
      <c r="Z86" s="2"/>
    </row>
    <row r="87" ht="15.75" customHeight="1">
      <c r="A87" s="14" t="s">
        <v>127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3">
        <v>0.0</v>
      </c>
      <c r="P87" s="13">
        <f>$B$62+$C$54*0</f>
        <v>128894.8</v>
      </c>
      <c r="Q87" s="13">
        <f t="shared" ref="Q87:Q92" si="5">SUM($C$79:C79)</f>
        <v>0</v>
      </c>
      <c r="R87" s="13">
        <f t="shared" ref="R87:R92" si="6">Q87-P87</f>
        <v>-128894.8</v>
      </c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3">
        <v>1.0</v>
      </c>
      <c r="P88" s="13">
        <f>$B$62+$C$54*1</f>
        <v>155219.16</v>
      </c>
      <c r="Q88" s="13">
        <f t="shared" si="5"/>
        <v>135000</v>
      </c>
      <c r="R88" s="13">
        <f t="shared" si="6"/>
        <v>-20219.16</v>
      </c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3">
        <v>2.0</v>
      </c>
      <c r="P89" s="13">
        <f>$B$62+$C$54*2</f>
        <v>181543.52</v>
      </c>
      <c r="Q89" s="13">
        <f t="shared" si="5"/>
        <v>283500</v>
      </c>
      <c r="R89" s="13">
        <f t="shared" si="6"/>
        <v>101956.48</v>
      </c>
      <c r="S89" s="2"/>
      <c r="T89" s="2"/>
      <c r="U89" s="2"/>
      <c r="V89" s="2"/>
      <c r="W89" s="2"/>
      <c r="X89" s="2"/>
      <c r="Y89" s="2"/>
      <c r="Z89" s="2"/>
    </row>
    <row r="90" ht="15.75" customHeight="1">
      <c r="A90" s="1" t="s">
        <v>128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3">
        <v>3.0</v>
      </c>
      <c r="P90" s="13">
        <f>$B$62+$C$54*3</f>
        <v>207867.88</v>
      </c>
      <c r="Q90" s="13">
        <f t="shared" si="5"/>
        <v>446850</v>
      </c>
      <c r="R90" s="13">
        <f t="shared" si="6"/>
        <v>238982.12</v>
      </c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3">
        <v>4.0</v>
      </c>
      <c r="P91" s="13">
        <f>$B$62+$C$54*4</f>
        <v>234192.24</v>
      </c>
      <c r="Q91" s="13">
        <f t="shared" si="5"/>
        <v>626535</v>
      </c>
      <c r="R91" s="13">
        <f t="shared" si="6"/>
        <v>392342.76</v>
      </c>
      <c r="S91" s="2"/>
      <c r="T91" s="2"/>
      <c r="U91" s="2"/>
      <c r="V91" s="2"/>
      <c r="W91" s="2"/>
      <c r="X91" s="2"/>
      <c r="Y91" s="2"/>
      <c r="Z91" s="2"/>
    </row>
    <row r="92" ht="15.75" customHeight="1">
      <c r="A92" s="15" t="s">
        <v>111</v>
      </c>
      <c r="B92" s="15" t="s">
        <v>112</v>
      </c>
      <c r="C92" s="15" t="s">
        <v>113</v>
      </c>
      <c r="D92" s="15" t="s">
        <v>114</v>
      </c>
      <c r="E92" s="15" t="s">
        <v>115</v>
      </c>
      <c r="F92" s="15" t="s">
        <v>116</v>
      </c>
      <c r="G92" s="2"/>
      <c r="H92" s="2"/>
      <c r="I92" s="2"/>
      <c r="J92" s="2"/>
      <c r="K92" s="2"/>
      <c r="L92" s="2"/>
      <c r="M92" s="2"/>
      <c r="N92" s="2"/>
      <c r="O92" s="13">
        <v>5.0</v>
      </c>
      <c r="P92" s="13">
        <f>$B$62+$C$54*5</f>
        <v>260516.6</v>
      </c>
      <c r="Q92" s="13">
        <f t="shared" si="5"/>
        <v>824189</v>
      </c>
      <c r="R92" s="13">
        <f t="shared" si="6"/>
        <v>563672.4</v>
      </c>
      <c r="S92" s="2"/>
      <c r="T92" s="2"/>
      <c r="U92" s="2"/>
      <c r="V92" s="2"/>
      <c r="W92" s="2"/>
      <c r="X92" s="2"/>
      <c r="Y92" s="2"/>
      <c r="Z92" s="2"/>
    </row>
    <row r="93" ht="15.75" customHeight="1">
      <c r="A93" s="4" t="s">
        <v>117</v>
      </c>
      <c r="B93" s="4">
        <v>128894.8</v>
      </c>
      <c r="C93" s="4">
        <v>0.0</v>
      </c>
      <c r="D93" s="4">
        <v>-128894.8</v>
      </c>
      <c r="E93" s="4">
        <v>-128894.8</v>
      </c>
      <c r="F93" s="4" t="s">
        <v>129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4" t="s">
        <v>118</v>
      </c>
      <c r="B94" s="4">
        <v>26324.36</v>
      </c>
      <c r="C94" s="4">
        <v>67500.0</v>
      </c>
      <c r="D94" s="4">
        <v>41175.64</v>
      </c>
      <c r="E94" s="4">
        <v>-87719.16</v>
      </c>
      <c r="F94" s="4" t="s">
        <v>129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4" t="s">
        <v>119</v>
      </c>
      <c r="B95" s="4">
        <v>26324.36</v>
      </c>
      <c r="C95" s="4">
        <v>74250.0</v>
      </c>
      <c r="D95" s="4">
        <v>47925.64</v>
      </c>
      <c r="E95" s="4">
        <v>-39793.52</v>
      </c>
      <c r="F95" s="4" t="s">
        <v>129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4" t="s">
        <v>120</v>
      </c>
      <c r="B96" s="4">
        <v>26324.36</v>
      </c>
      <c r="C96" s="4">
        <v>81675.0</v>
      </c>
      <c r="D96" s="4">
        <v>55350.64</v>
      </c>
      <c r="E96" s="4">
        <v>15557.12</v>
      </c>
      <c r="F96" s="11" t="s">
        <v>130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4" t="s">
        <v>121</v>
      </c>
      <c r="B97" s="4">
        <v>26324.36</v>
      </c>
      <c r="C97" s="4">
        <v>89843.0</v>
      </c>
      <c r="D97" s="4">
        <v>63518.64</v>
      </c>
      <c r="E97" s="4">
        <v>79075.76</v>
      </c>
      <c r="F97" s="11" t="s">
        <v>130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4" t="s">
        <v>122</v>
      </c>
      <c r="B98" s="4">
        <v>26324.36</v>
      </c>
      <c r="C98" s="4">
        <v>98827.0</v>
      </c>
      <c r="D98" s="4">
        <v>72502.64</v>
      </c>
      <c r="E98" s="4">
        <v>151578.4</v>
      </c>
      <c r="F98" s="11" t="s">
        <v>130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6" t="s">
        <v>131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" t="s">
        <v>132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7" t="s">
        <v>133</v>
      </c>
      <c r="B106" s="7" t="s">
        <v>134</v>
      </c>
      <c r="C106" s="7" t="s">
        <v>135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4" t="s">
        <v>136</v>
      </c>
      <c r="B107" s="4">
        <v>26.0</v>
      </c>
      <c r="C107" s="4">
        <v>26.0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4" t="s">
        <v>137</v>
      </c>
      <c r="B108" s="4">
        <v>24.3</v>
      </c>
      <c r="C108" s="4">
        <v>25.0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4" t="s">
        <v>138</v>
      </c>
      <c r="B109" s="4">
        <v>22.5</v>
      </c>
      <c r="C109" s="4">
        <v>24.0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4" t="s">
        <v>139</v>
      </c>
      <c r="B110" s="4">
        <v>20.8</v>
      </c>
      <c r="C110" s="4">
        <v>23.0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4" t="s">
        <v>140</v>
      </c>
      <c r="B111" s="4">
        <v>19.1</v>
      </c>
      <c r="C111" s="4">
        <v>22.0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4" t="s">
        <v>141</v>
      </c>
      <c r="B112" s="4">
        <v>17.3</v>
      </c>
      <c r="C112" s="4">
        <v>20.0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4" t="s">
        <v>142</v>
      </c>
      <c r="B113" s="4">
        <v>15.6</v>
      </c>
      <c r="C113" s="4">
        <v>18.0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4" t="s">
        <v>143</v>
      </c>
      <c r="B114" s="4">
        <v>13.9</v>
      </c>
      <c r="C114" s="4">
        <v>16.0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4" t="s">
        <v>144</v>
      </c>
      <c r="B115" s="4">
        <v>12.1</v>
      </c>
      <c r="C115" s="4">
        <v>14.0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4" t="s">
        <v>145</v>
      </c>
      <c r="B116" s="4">
        <v>10.4</v>
      </c>
      <c r="C116" s="4">
        <v>12.0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4" t="s">
        <v>146</v>
      </c>
      <c r="B117" s="4">
        <v>8.7</v>
      </c>
      <c r="C117" s="4">
        <v>12.0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4" t="s">
        <v>147</v>
      </c>
      <c r="B118" s="4">
        <v>6.9</v>
      </c>
      <c r="C118" s="4">
        <v>9.0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4" t="s">
        <v>148</v>
      </c>
      <c r="B119" s="4">
        <v>5.2</v>
      </c>
      <c r="C119" s="4">
        <v>6.0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4" t="s">
        <v>149</v>
      </c>
      <c r="B120" s="4">
        <v>3.5</v>
      </c>
      <c r="C120" s="4">
        <v>3.0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4" t="s">
        <v>150</v>
      </c>
      <c r="B121" s="4">
        <v>1.7</v>
      </c>
      <c r="C121" s="4">
        <v>0.0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4" t="s">
        <v>151</v>
      </c>
      <c r="B122" s="4">
        <v>0.0</v>
      </c>
      <c r="C122" s="4">
        <v>0.0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" t="s">
        <v>152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 t="s">
        <v>153</v>
      </c>
      <c r="B127" s="7" t="s">
        <v>154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4" t="s">
        <v>155</v>
      </c>
      <c r="B128" s="4">
        <v>81.0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4" t="s">
        <v>156</v>
      </c>
      <c r="B129" s="4">
        <v>65.0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4" t="s">
        <v>157</v>
      </c>
      <c r="B130" s="4">
        <v>39.0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4" t="s">
        <v>158</v>
      </c>
      <c r="B131" s="4">
        <v>23.0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4" t="s">
        <v>159</v>
      </c>
      <c r="B132" s="4">
        <v>0.0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15.43"/>
    <col customWidth="1" min="3" max="6" width="8.71"/>
  </cols>
  <sheetData>
    <row r="1" ht="24.75" customHeight="1">
      <c r="A1" s="1" t="s">
        <v>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7" t="s">
        <v>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8" t="s">
        <v>162</v>
      </c>
      <c r="B3" s="18" t="s">
        <v>163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9" t="s">
        <v>164</v>
      </c>
      <c r="B4" s="20" t="s">
        <v>165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9" t="s">
        <v>166</v>
      </c>
      <c r="B5" s="20" t="s">
        <v>167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9" t="s">
        <v>168</v>
      </c>
      <c r="B6" s="20" t="s">
        <v>169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9" t="s">
        <v>170</v>
      </c>
      <c r="B7" s="20" t="s">
        <v>171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9" t="s">
        <v>172</v>
      </c>
      <c r="B8" s="20" t="s">
        <v>173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9" t="s">
        <v>174</v>
      </c>
      <c r="B9" s="20" t="s">
        <v>175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9" t="s">
        <v>176</v>
      </c>
      <c r="B10" s="20" t="s">
        <v>177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9" t="s">
        <v>178</v>
      </c>
      <c r="B11" s="20" t="s">
        <v>179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9" t="s">
        <v>180</v>
      </c>
      <c r="B12" s="20" t="s">
        <v>181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9" t="s">
        <v>182</v>
      </c>
      <c r="B13" s="20" t="s">
        <v>183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9" t="s">
        <v>184</v>
      </c>
      <c r="B14" s="20" t="s">
        <v>185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9" t="s">
        <v>186</v>
      </c>
      <c r="B15" s="20" t="s">
        <v>187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9" t="s">
        <v>188</v>
      </c>
      <c r="B16" s="20" t="s">
        <v>189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9" t="s">
        <v>190</v>
      </c>
      <c r="B17" s="20" t="s">
        <v>191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9" t="s">
        <v>192</v>
      </c>
      <c r="B18" s="20" t="s">
        <v>193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9" t="s">
        <v>194</v>
      </c>
      <c r="B19" s="21" t="s">
        <v>195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9" t="s">
        <v>196</v>
      </c>
      <c r="B20" s="20" t="s">
        <v>197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9" t="s">
        <v>198</v>
      </c>
      <c r="B21" s="20" t="s">
        <v>199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9" t="s">
        <v>200</v>
      </c>
      <c r="B22" s="20" t="s">
        <v>201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9" t="s">
        <v>202</v>
      </c>
      <c r="B23" s="20" t="s">
        <v>203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9" t="s">
        <v>204</v>
      </c>
      <c r="B24" s="20" t="s">
        <v>205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9" t="s">
        <v>206</v>
      </c>
      <c r="B25" s="20" t="s">
        <v>207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9" t="s">
        <v>208</v>
      </c>
      <c r="B26" s="20" t="s">
        <v>209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9" t="s">
        <v>210</v>
      </c>
      <c r="B27" s="20" t="s">
        <v>211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9" t="s">
        <v>212</v>
      </c>
      <c r="B28" s="20" t="s">
        <v>213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9" t="s">
        <v>214</v>
      </c>
      <c r="B29" s="20" t="s">
        <v>215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9" t="s">
        <v>216</v>
      </c>
      <c r="B30" s="20" t="s">
        <v>217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9" t="s">
        <v>218</v>
      </c>
      <c r="B31" s="20" t="s">
        <v>219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9" t="s">
        <v>220</v>
      </c>
      <c r="B32" s="20" t="s">
        <v>221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9" t="s">
        <v>222</v>
      </c>
      <c r="B33" s="20" t="s">
        <v>223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9" t="s">
        <v>224</v>
      </c>
      <c r="B34" s="20" t="s">
        <v>225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9" t="s">
        <v>226</v>
      </c>
      <c r="B35" s="20" t="s">
        <v>227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9" t="s">
        <v>228</v>
      </c>
      <c r="B36" s="20" t="s">
        <v>229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8.0"/>
    <col customWidth="1" min="3" max="3" width="61.71"/>
    <col customWidth="1" min="4" max="4" width="18.0"/>
    <col customWidth="1" min="5" max="5" width="36.0"/>
    <col customWidth="1" min="6" max="6" width="10.0"/>
    <col customWidth="1" min="7" max="8" width="12.0"/>
    <col customWidth="1" min="9" max="10" width="36.0"/>
  </cols>
  <sheetData>
    <row r="1">
      <c r="A1" s="1" t="s">
        <v>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231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2" t="s">
        <v>232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2" t="s">
        <v>233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2" t="s">
        <v>234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2" t="s">
        <v>235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2" t="s">
        <v>236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2" t="s">
        <v>237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2" t="s">
        <v>238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0" customHeight="1">
      <c r="A13" s="23" t="s">
        <v>239</v>
      </c>
      <c r="B13" s="23" t="s">
        <v>240</v>
      </c>
      <c r="C13" s="23" t="s">
        <v>241</v>
      </c>
      <c r="D13" s="23" t="s">
        <v>242</v>
      </c>
      <c r="E13" s="23" t="s">
        <v>243</v>
      </c>
      <c r="F13" s="23" t="s">
        <v>244</v>
      </c>
      <c r="G13" s="23" t="s">
        <v>245</v>
      </c>
      <c r="H13" s="23" t="s">
        <v>246</v>
      </c>
      <c r="I13" s="23" t="s">
        <v>247</v>
      </c>
      <c r="J13" s="23" t="s">
        <v>248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 t="s">
        <v>249</v>
      </c>
      <c r="B14" s="20" t="s">
        <v>250</v>
      </c>
      <c r="C14" s="20" t="s">
        <v>251</v>
      </c>
      <c r="D14" s="20" t="s">
        <v>252</v>
      </c>
      <c r="E14" s="20" t="s">
        <v>253</v>
      </c>
      <c r="F14" s="20">
        <v>2.0</v>
      </c>
      <c r="G14" s="20">
        <v>3.0</v>
      </c>
      <c r="H14" s="24">
        <v>6.0</v>
      </c>
      <c r="I14" s="20" t="s">
        <v>254</v>
      </c>
      <c r="J14" s="20" t="s">
        <v>255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0" t="s">
        <v>256</v>
      </c>
      <c r="B15" s="20" t="s">
        <v>257</v>
      </c>
      <c r="C15" s="20" t="s">
        <v>258</v>
      </c>
      <c r="D15" s="20" t="s">
        <v>259</v>
      </c>
      <c r="E15" s="20" t="s">
        <v>260</v>
      </c>
      <c r="F15" s="20">
        <v>3.0</v>
      </c>
      <c r="G15" s="20">
        <v>3.0</v>
      </c>
      <c r="H15" s="25">
        <v>9.0</v>
      </c>
      <c r="I15" s="20" t="s">
        <v>261</v>
      </c>
      <c r="J15" s="20" t="s">
        <v>262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0" t="s">
        <v>263</v>
      </c>
      <c r="B16" s="20" t="s">
        <v>264</v>
      </c>
      <c r="C16" s="20" t="s">
        <v>265</v>
      </c>
      <c r="D16" s="20" t="s">
        <v>266</v>
      </c>
      <c r="E16" s="20" t="s">
        <v>267</v>
      </c>
      <c r="F16" s="20">
        <v>2.0</v>
      </c>
      <c r="G16" s="20">
        <v>2.0</v>
      </c>
      <c r="H16" s="24">
        <v>4.0</v>
      </c>
      <c r="I16" s="20" t="s">
        <v>268</v>
      </c>
      <c r="J16" s="20" t="s">
        <v>269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0" t="s">
        <v>270</v>
      </c>
      <c r="B17" s="20" t="s">
        <v>271</v>
      </c>
      <c r="C17" s="20" t="s">
        <v>272</v>
      </c>
      <c r="D17" s="20" t="s">
        <v>273</v>
      </c>
      <c r="E17" s="20" t="s">
        <v>274</v>
      </c>
      <c r="F17" s="20">
        <v>3.0</v>
      </c>
      <c r="G17" s="20">
        <v>2.0</v>
      </c>
      <c r="H17" s="24">
        <v>6.0</v>
      </c>
      <c r="I17" s="20" t="s">
        <v>275</v>
      </c>
      <c r="J17" s="20" t="s">
        <v>276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0" t="s">
        <v>277</v>
      </c>
      <c r="B18" s="20" t="s">
        <v>278</v>
      </c>
      <c r="C18" s="20" t="s">
        <v>279</v>
      </c>
      <c r="D18" s="20" t="s">
        <v>280</v>
      </c>
      <c r="E18" s="20" t="s">
        <v>281</v>
      </c>
      <c r="F18" s="20">
        <v>3.0</v>
      </c>
      <c r="G18" s="20">
        <v>2.0</v>
      </c>
      <c r="H18" s="24">
        <v>6.0</v>
      </c>
      <c r="I18" s="20" t="s">
        <v>282</v>
      </c>
      <c r="J18" s="20" t="s">
        <v>283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0" t="s">
        <v>284</v>
      </c>
      <c r="B19" s="20" t="s">
        <v>285</v>
      </c>
      <c r="C19" s="20" t="s">
        <v>286</v>
      </c>
      <c r="D19" s="20" t="s">
        <v>287</v>
      </c>
      <c r="E19" s="20" t="s">
        <v>288</v>
      </c>
      <c r="F19" s="20">
        <v>2.0</v>
      </c>
      <c r="G19" s="20">
        <v>2.0</v>
      </c>
      <c r="H19" s="24">
        <v>4.0</v>
      </c>
      <c r="I19" s="20" t="s">
        <v>289</v>
      </c>
      <c r="J19" s="20" t="s">
        <v>290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5" t="s">
        <v>291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" t="s">
        <v>292</v>
      </c>
      <c r="B23" s="7" t="s">
        <v>293</v>
      </c>
      <c r="C23" s="7" t="s">
        <v>3</v>
      </c>
      <c r="D23" s="7" t="s">
        <v>294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295</v>
      </c>
      <c r="B24" s="4" t="s">
        <v>296</v>
      </c>
      <c r="C24" s="4">
        <v>1.0</v>
      </c>
      <c r="D24" s="4" t="s">
        <v>297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298</v>
      </c>
      <c r="B25" s="4" t="s">
        <v>299</v>
      </c>
      <c r="C25" s="4">
        <v>4.0</v>
      </c>
      <c r="D25" s="4" t="s">
        <v>300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301</v>
      </c>
      <c r="B26" s="4" t="s">
        <v>302</v>
      </c>
      <c r="C26" s="4">
        <v>1.0</v>
      </c>
      <c r="D26" s="4" t="s">
        <v>303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304</v>
      </c>
      <c r="B27" s="4" t="s">
        <v>305</v>
      </c>
      <c r="C27" s="4">
        <v>0.0</v>
      </c>
      <c r="D27" s="4" t="s">
        <v>306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 t="s">
        <v>307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6" t="s">
        <v>308</v>
      </c>
      <c r="B33" s="26" t="s">
        <v>309</v>
      </c>
      <c r="C33" s="26" t="s">
        <v>310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311</v>
      </c>
      <c r="B34" s="27">
        <v>6.0</v>
      </c>
      <c r="C34" s="4">
        <v>5.0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 t="s">
        <v>312</v>
      </c>
      <c r="B35" s="28">
        <v>9.0</v>
      </c>
      <c r="C35" s="4">
        <v>5.0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313</v>
      </c>
      <c r="B36" s="27">
        <v>6.0</v>
      </c>
      <c r="C36" s="4">
        <v>5.0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314</v>
      </c>
      <c r="B37" s="27">
        <v>4.0</v>
      </c>
      <c r="C37" s="4">
        <v>5.0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 t="s">
        <v>315</v>
      </c>
      <c r="B38" s="29">
        <v>3.0</v>
      </c>
      <c r="C38" s="4">
        <v>5.0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316</v>
      </c>
      <c r="B39" s="27">
        <v>6.0</v>
      </c>
      <c r="C39" s="4">
        <v>5.0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 t="s">
        <v>317</v>
      </c>
      <c r="B40" s="29">
        <v>2.0</v>
      </c>
      <c r="C40" s="4">
        <v>5.0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30" t="s">
        <v>318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1" t="s">
        <v>319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32" t="s">
        <v>320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3" t="s">
        <v>321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 t="s">
        <v>322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4" t="s">
        <v>323</v>
      </c>
      <c r="B51" s="34" t="s">
        <v>27</v>
      </c>
      <c r="C51" s="34" t="s">
        <v>74</v>
      </c>
      <c r="D51" s="34" t="s">
        <v>324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0" t="s">
        <v>325</v>
      </c>
      <c r="B52" s="20" t="s">
        <v>326</v>
      </c>
      <c r="C52" s="20" t="s">
        <v>327</v>
      </c>
      <c r="D52" s="20" t="s">
        <v>328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0" t="s">
        <v>325</v>
      </c>
      <c r="B53" s="20" t="s">
        <v>329</v>
      </c>
      <c r="C53" s="20" t="s">
        <v>330</v>
      </c>
      <c r="D53" s="20" t="s">
        <v>328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0" t="s">
        <v>325</v>
      </c>
      <c r="B54" s="20" t="s">
        <v>331</v>
      </c>
      <c r="C54" s="20" t="s">
        <v>332</v>
      </c>
      <c r="D54" s="20" t="s">
        <v>333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0" t="s">
        <v>334</v>
      </c>
      <c r="B55" s="20" t="s">
        <v>335</v>
      </c>
      <c r="C55" s="20" t="s">
        <v>336</v>
      </c>
      <c r="D55" s="20" t="s">
        <v>328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0" t="s">
        <v>334</v>
      </c>
      <c r="B56" s="20" t="s">
        <v>337</v>
      </c>
      <c r="C56" s="20" t="s">
        <v>338</v>
      </c>
      <c r="D56" s="20" t="s">
        <v>328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0" t="s">
        <v>339</v>
      </c>
      <c r="B57" s="20" t="s">
        <v>340</v>
      </c>
      <c r="C57" s="20" t="s">
        <v>341</v>
      </c>
      <c r="D57" s="20" t="s">
        <v>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0" t="s">
        <v>339</v>
      </c>
      <c r="B58" s="20" t="s">
        <v>342</v>
      </c>
      <c r="C58" s="20" t="s">
        <v>343</v>
      </c>
      <c r="D58" s="20" t="s">
        <v>19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0" t="s">
        <v>344</v>
      </c>
      <c r="B59" s="20" t="s">
        <v>345</v>
      </c>
      <c r="C59" s="20" t="s">
        <v>346</v>
      </c>
      <c r="D59" s="20" t="s">
        <v>328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0" t="s">
        <v>344</v>
      </c>
      <c r="B60" s="20" t="s">
        <v>347</v>
      </c>
      <c r="C60" s="20" t="s">
        <v>348</v>
      </c>
      <c r="D60" s="20" t="s">
        <v>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0" t="s">
        <v>344</v>
      </c>
      <c r="B61" s="20" t="s">
        <v>349</v>
      </c>
      <c r="C61" s="20" t="s">
        <v>350</v>
      </c>
      <c r="D61" s="20" t="s">
        <v>351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" t="s">
        <v>352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5" t="s">
        <v>353</v>
      </c>
      <c r="B67" s="35" t="s">
        <v>354</v>
      </c>
      <c r="C67" s="35" t="s">
        <v>355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4" t="s">
        <v>356</v>
      </c>
      <c r="B68" s="4" t="s">
        <v>357</v>
      </c>
      <c r="C68" s="4" t="s">
        <v>358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4" t="s">
        <v>359</v>
      </c>
      <c r="B69" s="4" t="s">
        <v>360</v>
      </c>
      <c r="C69" s="4" t="s">
        <v>361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4" t="s">
        <v>362</v>
      </c>
      <c r="B70" s="4" t="s">
        <v>363</v>
      </c>
      <c r="C70" s="4" t="s">
        <v>364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4" t="s">
        <v>365</v>
      </c>
      <c r="B71" s="4" t="s">
        <v>366</v>
      </c>
      <c r="C71" s="4" t="s">
        <v>367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4" t="s">
        <v>280</v>
      </c>
      <c r="B72" s="4" t="s">
        <v>368</v>
      </c>
      <c r="C72" s="4" t="s">
        <v>369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4" t="s">
        <v>370</v>
      </c>
      <c r="B73" s="4" t="s">
        <v>371</v>
      </c>
      <c r="C73" s="4" t="s">
        <v>372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4" width="25.0"/>
    <col customWidth="1" min="5" max="5" width="50.0"/>
    <col customWidth="1" min="6" max="6" width="47.57"/>
  </cols>
  <sheetData>
    <row r="1">
      <c r="A1" s="1" t="s">
        <v>373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6" t="s">
        <v>374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375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153</v>
      </c>
      <c r="B6" s="7" t="s">
        <v>376</v>
      </c>
      <c r="C6" s="7" t="s">
        <v>26</v>
      </c>
      <c r="D6" s="7" t="s">
        <v>377</v>
      </c>
      <c r="E6" s="7" t="s">
        <v>378</v>
      </c>
      <c r="F6" s="7" t="s">
        <v>379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156</v>
      </c>
      <c r="B7" s="4" t="s">
        <v>380</v>
      </c>
      <c r="C7" s="4" t="s">
        <v>381</v>
      </c>
      <c r="D7" s="4" t="s">
        <v>382</v>
      </c>
      <c r="E7" s="4">
        <v>16.0</v>
      </c>
      <c r="F7" s="4" t="s">
        <v>383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157</v>
      </c>
      <c r="B8" s="4" t="s">
        <v>384</v>
      </c>
      <c r="C8" s="4" t="s">
        <v>385</v>
      </c>
      <c r="D8" s="37" t="s">
        <v>386</v>
      </c>
      <c r="E8" s="4">
        <v>26.0</v>
      </c>
      <c r="F8" s="4" t="s">
        <v>387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158</v>
      </c>
      <c r="B9" s="4" t="s">
        <v>388</v>
      </c>
      <c r="C9" s="4" t="s">
        <v>389</v>
      </c>
      <c r="D9" s="4" t="s">
        <v>390</v>
      </c>
      <c r="E9" s="4">
        <v>16.0</v>
      </c>
      <c r="F9" s="38" t="s">
        <v>391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159</v>
      </c>
      <c r="B10" s="4" t="s">
        <v>392</v>
      </c>
      <c r="C10" s="4" t="s">
        <v>393</v>
      </c>
      <c r="D10" s="4" t="s">
        <v>394</v>
      </c>
      <c r="E10" s="4">
        <v>23.0</v>
      </c>
      <c r="F10" s="4" t="s">
        <v>393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395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9" t="s">
        <v>396</v>
      </c>
      <c r="B16" s="39" t="s">
        <v>28</v>
      </c>
      <c r="C16" s="39" t="s">
        <v>397</v>
      </c>
      <c r="D16" s="39" t="s">
        <v>398</v>
      </c>
      <c r="E16" s="39" t="s">
        <v>26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0" t="s">
        <v>399</v>
      </c>
      <c r="B17" s="40" t="s">
        <v>400</v>
      </c>
      <c r="C17" s="40" t="s">
        <v>401</v>
      </c>
      <c r="D17" s="40" t="s">
        <v>402</v>
      </c>
      <c r="E17" s="40" t="s">
        <v>403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0" t="s">
        <v>404</v>
      </c>
      <c r="B18" s="40" t="s">
        <v>405</v>
      </c>
      <c r="C18" s="40" t="s">
        <v>406</v>
      </c>
      <c r="D18" s="40" t="s">
        <v>407</v>
      </c>
      <c r="E18" s="40" t="s">
        <v>408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0" t="s">
        <v>409</v>
      </c>
      <c r="B19" s="40" t="s">
        <v>410</v>
      </c>
      <c r="C19" s="40" t="s">
        <v>411</v>
      </c>
      <c r="D19" s="40" t="s">
        <v>412</v>
      </c>
      <c r="E19" s="40" t="s">
        <v>413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0" t="s">
        <v>414</v>
      </c>
      <c r="B20" s="40" t="s">
        <v>410</v>
      </c>
      <c r="C20" s="40" t="s">
        <v>415</v>
      </c>
      <c r="D20" s="40" t="s">
        <v>416</v>
      </c>
      <c r="E20" s="40" t="s">
        <v>417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0" t="s">
        <v>418</v>
      </c>
      <c r="B21" s="40" t="s">
        <v>419</v>
      </c>
      <c r="C21" s="40" t="s">
        <v>411</v>
      </c>
      <c r="D21" s="40" t="s">
        <v>407</v>
      </c>
      <c r="E21" s="40" t="s">
        <v>420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421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 t="s">
        <v>2</v>
      </c>
      <c r="B27" s="7" t="s">
        <v>422</v>
      </c>
      <c r="C27" s="7" t="s">
        <v>423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7</v>
      </c>
      <c r="B28" s="4" t="s">
        <v>424</v>
      </c>
      <c r="C28" s="4" t="s">
        <v>425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9</v>
      </c>
      <c r="B29" s="4" t="s">
        <v>426</v>
      </c>
      <c r="C29" s="4" t="s">
        <v>427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428</v>
      </c>
      <c r="B30" s="4" t="s">
        <v>429</v>
      </c>
      <c r="C30" s="4" t="s">
        <v>430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2026-01-14T23:33:45Z</dcterms:created>
  <dc:creator>openpyxl</dc:creator>
</cp:coreProperties>
</file>